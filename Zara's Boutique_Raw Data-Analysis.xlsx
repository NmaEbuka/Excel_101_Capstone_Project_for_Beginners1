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dministrator\Desktop\NMA\My baby\101\Excel_101\"/>
    </mc:Choice>
  </mc:AlternateContent>
  <xr:revisionPtr revIDLastSave="0" documentId="13_ncr:1_{0398EADA-C888-481A-BE57-8C9AB479CFBB}" xr6:coauthVersionLast="47" xr6:coauthVersionMax="47" xr10:uidLastSave="{00000000-0000-0000-0000-000000000000}"/>
  <bookViews>
    <workbookView xWindow="-110" yWindow="-110" windowWidth="19420" windowHeight="10300" xr2:uid="{BDB75C69-45A5-4C5D-9B2B-A43E699C50E2}"/>
  </bookViews>
  <sheets>
    <sheet name="Raw Data" sheetId="6" r:id="rId1"/>
    <sheet name="Analysis Log" sheetId="8" r:id="rId2"/>
    <sheet name="Working Data" sheetId="7" r:id="rId3"/>
    <sheet name="Monthly summary"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7" l="1"/>
  <c r="J4" i="7"/>
  <c r="J3" i="7"/>
  <c r="J2" i="7"/>
  <c r="J5" i="7"/>
  <c r="J9" i="7"/>
  <c r="J8" i="7"/>
  <c r="J7" i="7"/>
  <c r="C12" i="3"/>
  <c r="C13" i="3"/>
  <c r="C11" i="3"/>
  <c r="C10" i="3"/>
  <c r="C9" i="3"/>
  <c r="C8" i="3"/>
  <c r="C7" i="3"/>
  <c r="C6" i="3"/>
  <c r="D3" i="6"/>
  <c r="F3" i="6" s="1"/>
  <c r="G3" i="6" s="1"/>
  <c r="D4" i="6"/>
  <c r="F4" i="6" s="1"/>
  <c r="G4" i="6" s="1"/>
  <c r="D5" i="6"/>
  <c r="F5" i="6" s="1"/>
  <c r="G5" i="6" s="1"/>
  <c r="D6" i="6"/>
  <c r="F6" i="6" s="1"/>
  <c r="G6" i="6" s="1"/>
  <c r="D7" i="6"/>
  <c r="F7" i="6" s="1"/>
  <c r="G7" i="6" s="1"/>
  <c r="D8" i="6"/>
  <c r="F8" i="6" s="1"/>
  <c r="G8" i="6" s="1"/>
  <c r="D9" i="6"/>
  <c r="F9" i="6" s="1"/>
  <c r="G9" i="6" s="1"/>
  <c r="D10" i="6"/>
  <c r="F10" i="6" s="1"/>
  <c r="G10" i="6" s="1"/>
  <c r="D11" i="6"/>
  <c r="F11" i="6" s="1"/>
  <c r="G11" i="6" s="1"/>
  <c r="D12" i="6"/>
  <c r="F12" i="6" s="1"/>
  <c r="G12" i="6" s="1"/>
  <c r="D13" i="6"/>
  <c r="F13" i="6" s="1"/>
  <c r="G13" i="6" s="1"/>
  <c r="D14" i="6"/>
  <c r="F14" i="6" s="1"/>
  <c r="G14" i="6" s="1"/>
  <c r="D15" i="6"/>
  <c r="F15" i="6" s="1"/>
  <c r="G15" i="6" s="1"/>
  <c r="D16" i="6"/>
  <c r="F16" i="6" s="1"/>
  <c r="G16" i="6" s="1"/>
  <c r="D17" i="6"/>
  <c r="F17" i="6" s="1"/>
  <c r="G17" i="6" s="1"/>
  <c r="D18" i="6"/>
  <c r="F18" i="6" s="1"/>
  <c r="G18" i="6" s="1"/>
  <c r="D19" i="6"/>
  <c r="F19" i="6" s="1"/>
  <c r="G19" i="6" s="1"/>
  <c r="D20" i="6"/>
  <c r="F20" i="6" s="1"/>
  <c r="G20" i="6" s="1"/>
  <c r="D21" i="6"/>
  <c r="F21" i="6" s="1"/>
  <c r="G21" i="6" s="1"/>
  <c r="D22" i="6"/>
  <c r="F22" i="6" s="1"/>
  <c r="G22" i="6" s="1"/>
  <c r="D23" i="6"/>
  <c r="F23" i="6" s="1"/>
  <c r="G23" i="6" s="1"/>
  <c r="D24" i="6"/>
  <c r="F24" i="6" s="1"/>
  <c r="G24" i="6" s="1"/>
  <c r="D25" i="6"/>
  <c r="F25" i="6" s="1"/>
  <c r="G25" i="6" s="1"/>
  <c r="D26" i="6"/>
  <c r="F26" i="6" s="1"/>
  <c r="G26" i="6" s="1"/>
  <c r="D27" i="6"/>
  <c r="F27" i="6" s="1"/>
  <c r="G27" i="6" s="1"/>
  <c r="D28" i="6"/>
  <c r="F28" i="6" s="1"/>
  <c r="G28" i="6" s="1"/>
  <c r="D29" i="6"/>
  <c r="F29" i="6" s="1"/>
  <c r="G29" i="6" s="1"/>
  <c r="D30" i="6"/>
  <c r="F30" i="6" s="1"/>
  <c r="G30" i="6" s="1"/>
  <c r="D31" i="6"/>
  <c r="F31" i="6" s="1"/>
  <c r="G31" i="6" s="1"/>
  <c r="D32" i="6"/>
  <c r="F32" i="6" s="1"/>
  <c r="G32" i="6" s="1"/>
  <c r="D2" i="6"/>
  <c r="F2" i="6" s="1"/>
  <c r="G2" i="6" s="1"/>
</calcChain>
</file>

<file path=xl/sharedStrings.xml><?xml version="1.0" encoding="utf-8"?>
<sst xmlns="http://schemas.openxmlformats.org/spreadsheetml/2006/main" count="223" uniqueCount="65">
  <si>
    <t>Date</t>
  </si>
  <si>
    <t>Day</t>
  </si>
  <si>
    <t>Product Category</t>
  </si>
  <si>
    <t>Units Sold</t>
  </si>
  <si>
    <t>Unit Price</t>
  </si>
  <si>
    <t>Total Revenue</t>
  </si>
  <si>
    <t>Clothing</t>
  </si>
  <si>
    <t>Accessories</t>
  </si>
  <si>
    <t>Wed</t>
  </si>
  <si>
    <t>Thu</t>
  </si>
  <si>
    <t>Fri</t>
  </si>
  <si>
    <t>Sat</t>
  </si>
  <si>
    <t>Sun</t>
  </si>
  <si>
    <t>Mon</t>
  </si>
  <si>
    <t>Tue</t>
  </si>
  <si>
    <t>Footwears</t>
  </si>
  <si>
    <t>Yes</t>
  </si>
  <si>
    <t>Average Daily Revenue</t>
  </si>
  <si>
    <t>Highest Revenue</t>
  </si>
  <si>
    <t>Lowest Revenue</t>
  </si>
  <si>
    <t>Total Days above revenue</t>
  </si>
  <si>
    <t>No</t>
  </si>
  <si>
    <t>Revenue (Clothing)</t>
  </si>
  <si>
    <t>Revenue (Accessories)</t>
  </si>
  <si>
    <t>Revenue (Footwear)</t>
  </si>
  <si>
    <t>Zara's Boutique Sales Report January 2025</t>
  </si>
  <si>
    <t>Above Average</t>
  </si>
  <si>
    <t>Above Average?</t>
  </si>
  <si>
    <t>Analysis Log/Steps</t>
  </si>
  <si>
    <t>1. Created the first column, Date, input the first date, 01/01/2025, and drag down for the 31 days in January.</t>
  </si>
  <si>
    <t>2. Changed the date format in the number section on the Home ribbon. Use the UK format (DD/MM/YYYY)</t>
  </si>
  <si>
    <t>3. Created the second column, Day, typed in Wednesday as the first day of 2025 and dragged down to autofill.</t>
  </si>
  <si>
    <t>Data Generation:</t>
  </si>
  <si>
    <t>4. Create the "Product Category" column by typing in the categories, clothing, accessories, and footwears, and then pick then highlight the three cells and drag the black cursor down to autofill</t>
  </si>
  <si>
    <t xml:space="preserve">5. Create the "Unit Sold" column by using the RANDBETWEEN function to generate random numbers between 1 and 50. </t>
  </si>
  <si>
    <t>7. Create the "Total Revenue" column. Type in the formula (Unit sold*Unit Price) to calculate. Double click or drag the black cursor down to auto-fill the remaining cells.</t>
  </si>
  <si>
    <t>8. Create the "Above Revenue" column. Use the IF function (=IF(Total Revenue&gt;50000,"Yes","No")), to categorise each transaction into those that are above 50,000 or below.</t>
  </si>
  <si>
    <t>NB: Because of the RANDBETWEEN function in the Unit Sold column, the numbers in that column will keep changing whenever the sheet is refreshed. And this affects the Total revenue and the Above Average column because they were calculated based on the Unit Sold column.</t>
  </si>
  <si>
    <t>9. To resolve this, highlight the entire table, create a new sheet and Paste as Values. This sheet will be used as the raw data for this fictional analysis.</t>
  </si>
  <si>
    <t>6. Create the "Unit Price" column by typing in 8,500 for clothing, 3,200 for accessories, and 1,200 for footwear. Select the three cells and drag down the black cursor from the bottom right to auto-fill the remaining rows.</t>
  </si>
  <si>
    <t>Analysis:</t>
  </si>
  <si>
    <t>10. Change the format forr Unit Price and Total Revenue to currency.</t>
  </si>
  <si>
    <t>11. On a new sheet called "Monthly Summary" to calculate Monthly KPIs</t>
  </si>
  <si>
    <t>12. To calculate the Total Revenue for the Month: =SUM(Table1[Total Revenue])</t>
  </si>
  <si>
    <t>13. To calculate the Average Daily Revenue: =AVERAGE(Table1[Total Revenue])</t>
  </si>
  <si>
    <t>14. To calculate the highest Revenue: =MAX(Table1[Total Revenue])</t>
  </si>
  <si>
    <t>15. To calculate the lowest revenue: =MIN(Table1[Total Revenue])</t>
  </si>
  <si>
    <t>16. To calculate the total days that sales was above avarage (50,000)=COUNTIF(Table1[Above Average?], "Yes")</t>
  </si>
  <si>
    <t>17. To calculate total revenue for clothing: =SUMIF(Table1[Product Category], "Clothing", Table1[Total Revenue])</t>
  </si>
  <si>
    <t>18. To calculate total revenue for Accessories: =SUMIF(Table1[Product Category], "Accessories", Table1[Total Revenue])</t>
  </si>
  <si>
    <t>19. To calculate total revenue for Footwears: =SUMIF(Table1[Product Category], "Footwears", Table1[Total Revenue])</t>
  </si>
  <si>
    <t>Alternative formula if the analysis is done on the same page as the raw data and it is typed directly:</t>
  </si>
  <si>
    <t>20. Total Revenue: SUM(F2:F32)</t>
  </si>
  <si>
    <t>21. Average Daily Revenue: AVERAGE(F2:F32)</t>
  </si>
  <si>
    <t>22. Highest Revenue: MAX(F2:F32)</t>
  </si>
  <si>
    <t>23. Lowest Revenue: MIN(F2:F32)</t>
  </si>
  <si>
    <t>24. Total days above revenue: COUNTIF(G2:G32, "Yes")</t>
  </si>
  <si>
    <t>25. Revenue (Clothing): SUMIF(C2:C32, "Clothing", F2:F32)</t>
  </si>
  <si>
    <t>26. Revenue (Accessories): SUMIF(C2:C32, "Accessories", F2:F32)</t>
  </si>
  <si>
    <t>27. Revenue (Footwear): SUMIF(C2:C32, "Footwears", F2:F32)</t>
  </si>
  <si>
    <r>
      <t xml:space="preserve">The total revenue made from the boutique in January is </t>
    </r>
    <r>
      <rPr>
        <b/>
        <sz val="11"/>
        <color theme="1"/>
        <rFont val="Aptos Narrow"/>
        <family val="2"/>
        <scheme val="minor"/>
      </rPr>
      <t>N6,316,100.</t>
    </r>
  </si>
  <si>
    <r>
      <t xml:space="preserve">The lowest revenue, </t>
    </r>
    <r>
      <rPr>
        <b/>
        <sz val="11"/>
        <color theme="1"/>
        <rFont val="Aptos Narrow"/>
        <family val="2"/>
        <scheme val="minor"/>
      </rPr>
      <t xml:space="preserve">N8,500 was made on 16th January </t>
    </r>
    <r>
      <rPr>
        <sz val="11"/>
        <color theme="1"/>
        <rFont val="Aptos Narrow"/>
        <family val="2"/>
        <scheme val="minor"/>
      </rPr>
      <t>selling 1 unit of footwears at N8,500 per unit.</t>
    </r>
  </si>
  <si>
    <r>
      <t xml:space="preserve">The highest revenue of </t>
    </r>
    <r>
      <rPr>
        <b/>
        <sz val="11"/>
        <color theme="1"/>
        <rFont val="Aptos Narrow"/>
        <family val="2"/>
        <scheme val="minor"/>
      </rPr>
      <t>N516,000 was made on 30th January</t>
    </r>
    <r>
      <rPr>
        <sz val="11"/>
        <color theme="1"/>
        <rFont val="Aptos Narrow"/>
        <family val="2"/>
        <scheme val="minor"/>
      </rPr>
      <t>, selling 43 units of footwear at N12,000 per unit</t>
    </r>
  </si>
  <si>
    <r>
      <t xml:space="preserve">Out of the 31 sales made, </t>
    </r>
    <r>
      <rPr>
        <b/>
        <sz val="11"/>
        <color theme="1"/>
        <rFont val="Aptos Narrow"/>
        <family val="2"/>
        <scheme val="minor"/>
      </rPr>
      <t>26 of the sales met the daily target of N50,000</t>
    </r>
  </si>
  <si>
    <r>
      <t xml:space="preserve">On average, sales of </t>
    </r>
    <r>
      <rPr>
        <b/>
        <sz val="11"/>
        <color theme="1"/>
        <rFont val="Aptos Narrow"/>
        <family val="2"/>
        <scheme val="minor"/>
      </rPr>
      <t>N203,745.16</t>
    </r>
    <r>
      <rPr>
        <sz val="11"/>
        <color theme="1"/>
        <rFont val="Aptos Narrow"/>
        <family val="2"/>
        <scheme val="minor"/>
      </rPr>
      <t xml:space="preserve"> is made daily.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</si>
</sst>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70]* #,##0.00_-;\-[$₦-470]* #,##0.00_-;_-[$₦-470]* &quot;-&quot;??_-;_-@_-"/>
    <numFmt numFmtId="167" formatCode="dd/mm/yyyy;@"/>
  </numFmts>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164" fontId="0" fillId="0" borderId="0" xfId="0" applyNumberFormat="1"/>
    <xf numFmtId="49" fontId="1" fillId="0" borderId="0" xfId="0" applyNumberFormat="1" applyFont="1"/>
    <xf numFmtId="0" fontId="0" fillId="0" borderId="0" xfId="0" applyAlignment="1">
      <alignment horizontal="center"/>
    </xf>
    <xf numFmtId="0" fontId="1" fillId="0" borderId="0" xfId="0" applyFont="1"/>
    <xf numFmtId="49" fontId="2" fillId="0" borderId="0" xfId="0" applyNumberFormat="1" applyFont="1" applyAlignment="1">
      <alignment horizontal="center" vertical="center"/>
    </xf>
    <xf numFmtId="167" fontId="0" fillId="0" borderId="0" xfId="0" applyNumberFormat="1"/>
    <xf numFmtId="0" fontId="2" fillId="0" borderId="0" xfId="0" applyFont="1"/>
    <xf numFmtId="0" fontId="4" fillId="0" borderId="0" xfId="0" applyFont="1"/>
    <xf numFmtId="49" fontId="0" fillId="0" borderId="0" xfId="0" applyNumberFormat="1" applyFont="1"/>
  </cellXfs>
  <cellStyles count="1">
    <cellStyle name="Normal" xfId="0" builtinId="0"/>
  </cellStyles>
  <dxfs count="3">
    <dxf>
      <numFmt numFmtId="167" formatCode="dd/mm/yyyy;@"/>
    </dxf>
    <dxf>
      <numFmt numFmtId="164" formatCode="_-[$₦-470]* #,##0.00_-;\-[$₦-470]* #,##0.00_-;_-[$₦-470]* &quot;-&quot;??_-;_-@_-"/>
    </dxf>
    <dxf>
      <numFmt numFmtId="164" formatCode="_-[$₦-470]* #,##0.00_-;\-[$₦-470]* #,##0.00_-;_-[$₦-470]*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07425E-0E7D-4000-9B7F-F21B43B97D7B}" name="Table1" displayName="Table1" ref="A1:G32" totalsRowShown="0">
  <autoFilter ref="A1:G32" xr:uid="{0607425E-0E7D-4000-9B7F-F21B43B97D7B}"/>
  <tableColumns count="7">
    <tableColumn id="1" xr3:uid="{7405681E-8AC0-444F-A07E-1C3C61601435}" name="Date" dataDxfId="0"/>
    <tableColumn id="2" xr3:uid="{7EE6DDAF-68EF-4F5F-84A3-0BFD5CCC156A}" name="Day"/>
    <tableColumn id="3" xr3:uid="{043E30DD-C359-470F-8B4D-25C628CAF5F0}" name="Product Category"/>
    <tableColumn id="4" xr3:uid="{B0B810CC-A88B-4408-A9C7-032B0FE11948}" name="Units Sold"/>
    <tableColumn id="5" xr3:uid="{00553CC2-F987-4E43-B12E-7DF7AE3EC026}" name="Unit Price" dataDxfId="2"/>
    <tableColumn id="6" xr3:uid="{3853F59C-D291-4C3C-AB50-267369D42372}" name="Total Revenue" dataDxfId="1"/>
    <tableColumn id="7" xr3:uid="{244B2AC7-727E-4D77-93A3-5C1C1AB410FA}" name="Above Averag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C26F8-02D4-4B38-9B63-D507C77FE8BF}">
  <dimension ref="A1:K32"/>
  <sheetViews>
    <sheetView tabSelected="1" workbookViewId="0">
      <selection activeCell="F6" sqref="F6"/>
    </sheetView>
  </sheetViews>
  <sheetFormatPr defaultRowHeight="14.5" x14ac:dyDescent="0.35"/>
  <cols>
    <col min="1" max="1" width="10.08984375" style="7" bestFit="1" customWidth="1"/>
    <col min="3" max="3" width="14.90625" bestFit="1" customWidth="1"/>
    <col min="6" max="6" width="12.08984375" bestFit="1" customWidth="1"/>
    <col min="7" max="7" width="12.54296875" bestFit="1" customWidth="1"/>
    <col min="11" max="11" width="10.08984375" style="7" bestFit="1" customWidth="1"/>
  </cols>
  <sheetData>
    <row r="1" spans="1:7" x14ac:dyDescent="0.35">
      <c r="A1" s="7" t="s">
        <v>0</v>
      </c>
      <c r="B1" t="s">
        <v>1</v>
      </c>
      <c r="C1" t="s">
        <v>2</v>
      </c>
      <c r="D1" t="s">
        <v>3</v>
      </c>
      <c r="E1" t="s">
        <v>4</v>
      </c>
      <c r="F1" t="s">
        <v>5</v>
      </c>
      <c r="G1" t="s">
        <v>26</v>
      </c>
    </row>
    <row r="2" spans="1:7" x14ac:dyDescent="0.35">
      <c r="A2" s="7">
        <v>45658</v>
      </c>
      <c r="B2" t="s">
        <v>8</v>
      </c>
      <c r="C2" t="s">
        <v>6</v>
      </c>
      <c r="D2">
        <f ca="1">RANDBETWEEN(1,50)</f>
        <v>41</v>
      </c>
      <c r="E2">
        <v>8500</v>
      </c>
      <c r="F2">
        <f ca="1">D2*E2</f>
        <v>348500</v>
      </c>
      <c r="G2" t="str">
        <f ca="1">IF(F2&gt;50000,"Yes","No")</f>
        <v>Yes</v>
      </c>
    </row>
    <row r="3" spans="1:7" x14ac:dyDescent="0.35">
      <c r="A3" s="7">
        <v>45659</v>
      </c>
      <c r="B3" t="s">
        <v>9</v>
      </c>
      <c r="C3" t="s">
        <v>7</v>
      </c>
      <c r="D3">
        <f t="shared" ref="D3:D32" ca="1" si="0">RANDBETWEEN(1,50)</f>
        <v>47</v>
      </c>
      <c r="E3">
        <v>3200</v>
      </c>
      <c r="F3">
        <f t="shared" ref="F3:F32" ca="1" si="1">D3*E3</f>
        <v>150400</v>
      </c>
      <c r="G3" t="str">
        <f t="shared" ref="G3:G32" ca="1" si="2">IF(F3&gt;50000,"Yes","No")</f>
        <v>Yes</v>
      </c>
    </row>
    <row r="4" spans="1:7" x14ac:dyDescent="0.35">
      <c r="A4" s="7">
        <v>45660</v>
      </c>
      <c r="B4" t="s">
        <v>10</v>
      </c>
      <c r="C4" t="s">
        <v>15</v>
      </c>
      <c r="D4">
        <f t="shared" ca="1" si="0"/>
        <v>8</v>
      </c>
      <c r="E4">
        <v>12000</v>
      </c>
      <c r="F4">
        <f t="shared" ca="1" si="1"/>
        <v>96000</v>
      </c>
      <c r="G4" t="str">
        <f t="shared" ca="1" si="2"/>
        <v>Yes</v>
      </c>
    </row>
    <row r="5" spans="1:7" x14ac:dyDescent="0.35">
      <c r="A5" s="7">
        <v>45661</v>
      </c>
      <c r="B5" t="s">
        <v>11</v>
      </c>
      <c r="C5" t="s">
        <v>6</v>
      </c>
      <c r="D5">
        <f t="shared" ca="1" si="0"/>
        <v>22</v>
      </c>
      <c r="E5">
        <v>8500</v>
      </c>
      <c r="F5">
        <f t="shared" ca="1" si="1"/>
        <v>187000</v>
      </c>
      <c r="G5" t="str">
        <f t="shared" ca="1" si="2"/>
        <v>Yes</v>
      </c>
    </row>
    <row r="6" spans="1:7" x14ac:dyDescent="0.35">
      <c r="A6" s="7">
        <v>45662</v>
      </c>
      <c r="B6" t="s">
        <v>12</v>
      </c>
      <c r="C6" t="s">
        <v>7</v>
      </c>
      <c r="D6">
        <f t="shared" ca="1" si="0"/>
        <v>48</v>
      </c>
      <c r="E6">
        <v>3200</v>
      </c>
      <c r="F6">
        <f t="shared" ca="1" si="1"/>
        <v>153600</v>
      </c>
      <c r="G6" t="str">
        <f t="shared" ca="1" si="2"/>
        <v>Yes</v>
      </c>
    </row>
    <row r="7" spans="1:7" x14ac:dyDescent="0.35">
      <c r="A7" s="7">
        <v>45663</v>
      </c>
      <c r="B7" t="s">
        <v>13</v>
      </c>
      <c r="C7" t="s">
        <v>15</v>
      </c>
      <c r="D7">
        <f t="shared" ca="1" si="0"/>
        <v>49</v>
      </c>
      <c r="E7">
        <v>12000</v>
      </c>
      <c r="F7">
        <f t="shared" ca="1" si="1"/>
        <v>588000</v>
      </c>
      <c r="G7" t="str">
        <f t="shared" ca="1" si="2"/>
        <v>Yes</v>
      </c>
    </row>
    <row r="8" spans="1:7" x14ac:dyDescent="0.35">
      <c r="A8" s="7">
        <v>45664</v>
      </c>
      <c r="B8" t="s">
        <v>14</v>
      </c>
      <c r="C8" t="s">
        <v>6</v>
      </c>
      <c r="D8">
        <f t="shared" ca="1" si="0"/>
        <v>49</v>
      </c>
      <c r="E8">
        <v>8500</v>
      </c>
      <c r="F8">
        <f t="shared" ca="1" si="1"/>
        <v>416500</v>
      </c>
      <c r="G8" t="str">
        <f t="shared" ca="1" si="2"/>
        <v>Yes</v>
      </c>
    </row>
    <row r="9" spans="1:7" x14ac:dyDescent="0.35">
      <c r="A9" s="7">
        <v>45665</v>
      </c>
      <c r="B9" t="s">
        <v>8</v>
      </c>
      <c r="C9" t="s">
        <v>7</v>
      </c>
      <c r="D9">
        <f t="shared" ca="1" si="0"/>
        <v>50</v>
      </c>
      <c r="E9">
        <v>3200</v>
      </c>
      <c r="F9">
        <f t="shared" ca="1" si="1"/>
        <v>160000</v>
      </c>
      <c r="G9" t="str">
        <f t="shared" ca="1" si="2"/>
        <v>Yes</v>
      </c>
    </row>
    <row r="10" spans="1:7" x14ac:dyDescent="0.35">
      <c r="A10" s="7">
        <v>45666</v>
      </c>
      <c r="B10" t="s">
        <v>9</v>
      </c>
      <c r="C10" t="s">
        <v>15</v>
      </c>
      <c r="D10">
        <f t="shared" ca="1" si="0"/>
        <v>18</v>
      </c>
      <c r="E10">
        <v>12000</v>
      </c>
      <c r="F10">
        <f t="shared" ca="1" si="1"/>
        <v>216000</v>
      </c>
      <c r="G10" t="str">
        <f t="shared" ca="1" si="2"/>
        <v>Yes</v>
      </c>
    </row>
    <row r="11" spans="1:7" x14ac:dyDescent="0.35">
      <c r="A11" s="7">
        <v>45667</v>
      </c>
      <c r="B11" t="s">
        <v>10</v>
      </c>
      <c r="C11" t="s">
        <v>6</v>
      </c>
      <c r="D11">
        <f t="shared" ca="1" si="0"/>
        <v>32</v>
      </c>
      <c r="E11">
        <v>8500</v>
      </c>
      <c r="F11">
        <f t="shared" ca="1" si="1"/>
        <v>272000</v>
      </c>
      <c r="G11" t="str">
        <f t="shared" ca="1" si="2"/>
        <v>Yes</v>
      </c>
    </row>
    <row r="12" spans="1:7" x14ac:dyDescent="0.35">
      <c r="A12" s="7">
        <v>45668</v>
      </c>
      <c r="B12" t="s">
        <v>11</v>
      </c>
      <c r="C12" t="s">
        <v>7</v>
      </c>
      <c r="D12">
        <f t="shared" ca="1" si="0"/>
        <v>39</v>
      </c>
      <c r="E12">
        <v>3200</v>
      </c>
      <c r="F12">
        <f t="shared" ca="1" si="1"/>
        <v>124800</v>
      </c>
      <c r="G12" t="str">
        <f t="shared" ca="1" si="2"/>
        <v>Yes</v>
      </c>
    </row>
    <row r="13" spans="1:7" x14ac:dyDescent="0.35">
      <c r="A13" s="7">
        <v>45669</v>
      </c>
      <c r="B13" t="s">
        <v>12</v>
      </c>
      <c r="C13" t="s">
        <v>15</v>
      </c>
      <c r="D13">
        <f t="shared" ca="1" si="0"/>
        <v>34</v>
      </c>
      <c r="E13">
        <v>12000</v>
      </c>
      <c r="F13">
        <f t="shared" ca="1" si="1"/>
        <v>408000</v>
      </c>
      <c r="G13" t="str">
        <f t="shared" ca="1" si="2"/>
        <v>Yes</v>
      </c>
    </row>
    <row r="14" spans="1:7" x14ac:dyDescent="0.35">
      <c r="A14" s="7">
        <v>45670</v>
      </c>
      <c r="B14" t="s">
        <v>13</v>
      </c>
      <c r="C14" t="s">
        <v>6</v>
      </c>
      <c r="D14">
        <f t="shared" ca="1" si="0"/>
        <v>34</v>
      </c>
      <c r="E14">
        <v>8500</v>
      </c>
      <c r="F14">
        <f t="shared" ca="1" si="1"/>
        <v>289000</v>
      </c>
      <c r="G14" t="str">
        <f t="shared" ca="1" si="2"/>
        <v>Yes</v>
      </c>
    </row>
    <row r="15" spans="1:7" x14ac:dyDescent="0.35">
      <c r="A15" s="7">
        <v>45671</v>
      </c>
      <c r="B15" t="s">
        <v>14</v>
      </c>
      <c r="C15" t="s">
        <v>7</v>
      </c>
      <c r="D15">
        <f t="shared" ca="1" si="0"/>
        <v>44</v>
      </c>
      <c r="E15">
        <v>3200</v>
      </c>
      <c r="F15">
        <f t="shared" ca="1" si="1"/>
        <v>140800</v>
      </c>
      <c r="G15" t="str">
        <f t="shared" ca="1" si="2"/>
        <v>Yes</v>
      </c>
    </row>
    <row r="16" spans="1:7" x14ac:dyDescent="0.35">
      <c r="A16" s="7">
        <v>45672</v>
      </c>
      <c r="B16" t="s">
        <v>8</v>
      </c>
      <c r="C16" t="s">
        <v>15</v>
      </c>
      <c r="D16">
        <f t="shared" ca="1" si="0"/>
        <v>35</v>
      </c>
      <c r="E16">
        <v>12000</v>
      </c>
      <c r="F16">
        <f t="shared" ca="1" si="1"/>
        <v>420000</v>
      </c>
      <c r="G16" t="str">
        <f t="shared" ca="1" si="2"/>
        <v>Yes</v>
      </c>
    </row>
    <row r="17" spans="1:7" x14ac:dyDescent="0.35">
      <c r="A17" s="7">
        <v>45673</v>
      </c>
      <c r="B17" t="s">
        <v>9</v>
      </c>
      <c r="C17" t="s">
        <v>6</v>
      </c>
      <c r="D17">
        <f t="shared" ca="1" si="0"/>
        <v>21</v>
      </c>
      <c r="E17">
        <v>8500</v>
      </c>
      <c r="F17">
        <f t="shared" ca="1" si="1"/>
        <v>178500</v>
      </c>
      <c r="G17" t="str">
        <f t="shared" ca="1" si="2"/>
        <v>Yes</v>
      </c>
    </row>
    <row r="18" spans="1:7" x14ac:dyDescent="0.35">
      <c r="A18" s="7">
        <v>45674</v>
      </c>
      <c r="B18" t="s">
        <v>10</v>
      </c>
      <c r="C18" t="s">
        <v>7</v>
      </c>
      <c r="D18">
        <f t="shared" ca="1" si="0"/>
        <v>28</v>
      </c>
      <c r="E18">
        <v>3200</v>
      </c>
      <c r="F18">
        <f t="shared" ca="1" si="1"/>
        <v>89600</v>
      </c>
      <c r="G18" t="str">
        <f t="shared" ca="1" si="2"/>
        <v>Yes</v>
      </c>
    </row>
    <row r="19" spans="1:7" x14ac:dyDescent="0.35">
      <c r="A19" s="7">
        <v>45675</v>
      </c>
      <c r="B19" t="s">
        <v>11</v>
      </c>
      <c r="C19" t="s">
        <v>15</v>
      </c>
      <c r="D19">
        <f t="shared" ca="1" si="0"/>
        <v>45</v>
      </c>
      <c r="E19">
        <v>12000</v>
      </c>
      <c r="F19">
        <f t="shared" ca="1" si="1"/>
        <v>540000</v>
      </c>
      <c r="G19" t="str">
        <f t="shared" ca="1" si="2"/>
        <v>Yes</v>
      </c>
    </row>
    <row r="20" spans="1:7" x14ac:dyDescent="0.35">
      <c r="A20" s="7">
        <v>45676</v>
      </c>
      <c r="B20" t="s">
        <v>12</v>
      </c>
      <c r="C20" t="s">
        <v>6</v>
      </c>
      <c r="D20">
        <f t="shared" ca="1" si="0"/>
        <v>39</v>
      </c>
      <c r="E20">
        <v>8500</v>
      </c>
      <c r="F20">
        <f t="shared" ca="1" si="1"/>
        <v>331500</v>
      </c>
      <c r="G20" t="str">
        <f t="shared" ca="1" si="2"/>
        <v>Yes</v>
      </c>
    </row>
    <row r="21" spans="1:7" x14ac:dyDescent="0.35">
      <c r="A21" s="7">
        <v>45677</v>
      </c>
      <c r="B21" t="s">
        <v>13</v>
      </c>
      <c r="C21" t="s">
        <v>7</v>
      </c>
      <c r="D21">
        <f t="shared" ca="1" si="0"/>
        <v>21</v>
      </c>
      <c r="E21">
        <v>3200</v>
      </c>
      <c r="F21">
        <f t="shared" ca="1" si="1"/>
        <v>67200</v>
      </c>
      <c r="G21" t="str">
        <f t="shared" ca="1" si="2"/>
        <v>Yes</v>
      </c>
    </row>
    <row r="22" spans="1:7" x14ac:dyDescent="0.35">
      <c r="A22" s="7">
        <v>45678</v>
      </c>
      <c r="B22" t="s">
        <v>14</v>
      </c>
      <c r="C22" t="s">
        <v>15</v>
      </c>
      <c r="D22">
        <f t="shared" ca="1" si="0"/>
        <v>44</v>
      </c>
      <c r="E22">
        <v>12000</v>
      </c>
      <c r="F22">
        <f t="shared" ca="1" si="1"/>
        <v>528000</v>
      </c>
      <c r="G22" t="str">
        <f t="shared" ca="1" si="2"/>
        <v>Yes</v>
      </c>
    </row>
    <row r="23" spans="1:7" x14ac:dyDescent="0.35">
      <c r="A23" s="7">
        <v>45679</v>
      </c>
      <c r="B23" t="s">
        <v>8</v>
      </c>
      <c r="C23" t="s">
        <v>6</v>
      </c>
      <c r="D23">
        <f t="shared" ca="1" si="0"/>
        <v>29</v>
      </c>
      <c r="E23">
        <v>8500</v>
      </c>
      <c r="F23">
        <f t="shared" ca="1" si="1"/>
        <v>246500</v>
      </c>
      <c r="G23" t="str">
        <f t="shared" ca="1" si="2"/>
        <v>Yes</v>
      </c>
    </row>
    <row r="24" spans="1:7" x14ac:dyDescent="0.35">
      <c r="A24" s="7">
        <v>45680</v>
      </c>
      <c r="B24" t="s">
        <v>9</v>
      </c>
      <c r="C24" t="s">
        <v>7</v>
      </c>
      <c r="D24">
        <f t="shared" ca="1" si="0"/>
        <v>2</v>
      </c>
      <c r="E24">
        <v>3200</v>
      </c>
      <c r="F24">
        <f t="shared" ca="1" si="1"/>
        <v>6400</v>
      </c>
      <c r="G24" t="str">
        <f t="shared" ca="1" si="2"/>
        <v>No</v>
      </c>
    </row>
    <row r="25" spans="1:7" x14ac:dyDescent="0.35">
      <c r="A25" s="7">
        <v>45681</v>
      </c>
      <c r="B25" t="s">
        <v>10</v>
      </c>
      <c r="C25" t="s">
        <v>15</v>
      </c>
      <c r="D25">
        <f t="shared" ca="1" si="0"/>
        <v>14</v>
      </c>
      <c r="E25">
        <v>12000</v>
      </c>
      <c r="F25">
        <f t="shared" ca="1" si="1"/>
        <v>168000</v>
      </c>
      <c r="G25" t="str">
        <f t="shared" ca="1" si="2"/>
        <v>Yes</v>
      </c>
    </row>
    <row r="26" spans="1:7" x14ac:dyDescent="0.35">
      <c r="A26" s="7">
        <v>45682</v>
      </c>
      <c r="B26" t="s">
        <v>11</v>
      </c>
      <c r="C26" t="s">
        <v>6</v>
      </c>
      <c r="D26">
        <f t="shared" ca="1" si="0"/>
        <v>3</v>
      </c>
      <c r="E26">
        <v>8500</v>
      </c>
      <c r="F26">
        <f t="shared" ca="1" si="1"/>
        <v>25500</v>
      </c>
      <c r="G26" t="str">
        <f t="shared" ca="1" si="2"/>
        <v>No</v>
      </c>
    </row>
    <row r="27" spans="1:7" x14ac:dyDescent="0.35">
      <c r="A27" s="7">
        <v>45683</v>
      </c>
      <c r="B27" t="s">
        <v>12</v>
      </c>
      <c r="C27" t="s">
        <v>7</v>
      </c>
      <c r="D27">
        <f t="shared" ca="1" si="0"/>
        <v>37</v>
      </c>
      <c r="E27">
        <v>3200</v>
      </c>
      <c r="F27">
        <f t="shared" ca="1" si="1"/>
        <v>118400</v>
      </c>
      <c r="G27" t="str">
        <f t="shared" ca="1" si="2"/>
        <v>Yes</v>
      </c>
    </row>
    <row r="28" spans="1:7" x14ac:dyDescent="0.35">
      <c r="A28" s="7">
        <v>45684</v>
      </c>
      <c r="B28" t="s">
        <v>13</v>
      </c>
      <c r="C28" t="s">
        <v>15</v>
      </c>
      <c r="D28">
        <f t="shared" ca="1" si="0"/>
        <v>49</v>
      </c>
      <c r="E28">
        <v>12000</v>
      </c>
      <c r="F28">
        <f t="shared" ca="1" si="1"/>
        <v>588000</v>
      </c>
      <c r="G28" t="str">
        <f t="shared" ca="1" si="2"/>
        <v>Yes</v>
      </c>
    </row>
    <row r="29" spans="1:7" x14ac:dyDescent="0.35">
      <c r="A29" s="7">
        <v>45685</v>
      </c>
      <c r="B29" t="s">
        <v>14</v>
      </c>
      <c r="C29" t="s">
        <v>6</v>
      </c>
      <c r="D29">
        <f t="shared" ca="1" si="0"/>
        <v>50</v>
      </c>
      <c r="E29">
        <v>8500</v>
      </c>
      <c r="F29">
        <f t="shared" ca="1" si="1"/>
        <v>425000</v>
      </c>
      <c r="G29" t="str">
        <f t="shared" ca="1" si="2"/>
        <v>Yes</v>
      </c>
    </row>
    <row r="30" spans="1:7" x14ac:dyDescent="0.35">
      <c r="A30" s="7">
        <v>45686</v>
      </c>
      <c r="B30" t="s">
        <v>8</v>
      </c>
      <c r="C30" t="s">
        <v>7</v>
      </c>
      <c r="D30">
        <f t="shared" ca="1" si="0"/>
        <v>43</v>
      </c>
      <c r="E30">
        <v>3200</v>
      </c>
      <c r="F30">
        <f t="shared" ca="1" si="1"/>
        <v>137600</v>
      </c>
      <c r="G30" t="str">
        <f t="shared" ca="1" si="2"/>
        <v>Yes</v>
      </c>
    </row>
    <row r="31" spans="1:7" x14ac:dyDescent="0.35">
      <c r="A31" s="7">
        <v>45687</v>
      </c>
      <c r="B31" t="s">
        <v>9</v>
      </c>
      <c r="C31" t="s">
        <v>15</v>
      </c>
      <c r="D31">
        <f t="shared" ca="1" si="0"/>
        <v>20</v>
      </c>
      <c r="E31">
        <v>12000</v>
      </c>
      <c r="F31">
        <f t="shared" ca="1" si="1"/>
        <v>240000</v>
      </c>
      <c r="G31" t="str">
        <f t="shared" ca="1" si="2"/>
        <v>Yes</v>
      </c>
    </row>
    <row r="32" spans="1:7" x14ac:dyDescent="0.35">
      <c r="A32" s="7">
        <v>45688</v>
      </c>
      <c r="B32" t="s">
        <v>10</v>
      </c>
      <c r="C32" t="s">
        <v>6</v>
      </c>
      <c r="D32">
        <f t="shared" ca="1" si="0"/>
        <v>18</v>
      </c>
      <c r="E32">
        <v>8500</v>
      </c>
      <c r="F32">
        <f t="shared" ca="1" si="1"/>
        <v>153000</v>
      </c>
      <c r="G32" t="str">
        <f t="shared" ca="1" si="2"/>
        <v>Yes</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69979-154B-4B99-B9A8-1D1B6BC57D89}">
  <dimension ref="A1:A32"/>
  <sheetViews>
    <sheetView showGridLines="0" topLeftCell="A19" workbookViewId="0">
      <selection activeCell="A32" sqref="A32"/>
    </sheetView>
  </sheetViews>
  <sheetFormatPr defaultRowHeight="14.5" x14ac:dyDescent="0.35"/>
  <cols>
    <col min="1" max="1" width="168.08984375" customWidth="1"/>
  </cols>
  <sheetData>
    <row r="1" spans="1:1" ht="18.5" x14ac:dyDescent="0.45">
      <c r="A1" s="9" t="s">
        <v>28</v>
      </c>
    </row>
    <row r="2" spans="1:1" ht="16" x14ac:dyDescent="0.4">
      <c r="A2" s="8" t="s">
        <v>32</v>
      </c>
    </row>
    <row r="3" spans="1:1" x14ac:dyDescent="0.35">
      <c r="A3" t="s">
        <v>29</v>
      </c>
    </row>
    <row r="4" spans="1:1" x14ac:dyDescent="0.35">
      <c r="A4" t="s">
        <v>30</v>
      </c>
    </row>
    <row r="5" spans="1:1" x14ac:dyDescent="0.35">
      <c r="A5" t="s">
        <v>31</v>
      </c>
    </row>
    <row r="6" spans="1:1" x14ac:dyDescent="0.35">
      <c r="A6" t="s">
        <v>33</v>
      </c>
    </row>
    <row r="7" spans="1:1" x14ac:dyDescent="0.35">
      <c r="A7" t="s">
        <v>34</v>
      </c>
    </row>
    <row r="8" spans="1:1" x14ac:dyDescent="0.35">
      <c r="A8" t="s">
        <v>39</v>
      </c>
    </row>
    <row r="9" spans="1:1" x14ac:dyDescent="0.35">
      <c r="A9" t="s">
        <v>35</v>
      </c>
    </row>
    <row r="10" spans="1:1" x14ac:dyDescent="0.35">
      <c r="A10" t="s">
        <v>36</v>
      </c>
    </row>
    <row r="11" spans="1:1" x14ac:dyDescent="0.35">
      <c r="A11" s="5" t="s">
        <v>37</v>
      </c>
    </row>
    <row r="12" spans="1:1" x14ac:dyDescent="0.35">
      <c r="A12" t="s">
        <v>38</v>
      </c>
    </row>
    <row r="13" spans="1:1" ht="16" x14ac:dyDescent="0.4">
      <c r="A13" s="8" t="s">
        <v>40</v>
      </c>
    </row>
    <row r="14" spans="1:1" x14ac:dyDescent="0.35">
      <c r="A14" t="s">
        <v>41</v>
      </c>
    </row>
    <row r="15" spans="1:1" x14ac:dyDescent="0.35">
      <c r="A15" t="s">
        <v>42</v>
      </c>
    </row>
    <row r="16" spans="1:1" x14ac:dyDescent="0.35">
      <c r="A16" t="s">
        <v>43</v>
      </c>
    </row>
    <row r="17" spans="1:1" x14ac:dyDescent="0.35">
      <c r="A17" t="s">
        <v>44</v>
      </c>
    </row>
    <row r="18" spans="1:1" x14ac:dyDescent="0.35">
      <c r="A18" t="s">
        <v>45</v>
      </c>
    </row>
    <row r="19" spans="1:1" x14ac:dyDescent="0.35">
      <c r="A19" t="s">
        <v>46</v>
      </c>
    </row>
    <row r="20" spans="1:1" x14ac:dyDescent="0.35">
      <c r="A20" t="s">
        <v>47</v>
      </c>
    </row>
    <row r="21" spans="1:1" x14ac:dyDescent="0.35">
      <c r="A21" t="s">
        <v>48</v>
      </c>
    </row>
    <row r="22" spans="1:1" x14ac:dyDescent="0.35">
      <c r="A22" t="s">
        <v>49</v>
      </c>
    </row>
    <row r="23" spans="1:1" x14ac:dyDescent="0.35">
      <c r="A23" t="s">
        <v>50</v>
      </c>
    </row>
    <row r="24" spans="1:1" x14ac:dyDescent="0.35">
      <c r="A24" t="s">
        <v>51</v>
      </c>
    </row>
    <row r="25" spans="1:1" x14ac:dyDescent="0.35">
      <c r="A25" t="s">
        <v>52</v>
      </c>
    </row>
    <row r="26" spans="1:1" x14ac:dyDescent="0.35">
      <c r="A26" t="s">
        <v>53</v>
      </c>
    </row>
    <row r="27" spans="1:1" x14ac:dyDescent="0.35">
      <c r="A27" t="s">
        <v>54</v>
      </c>
    </row>
    <row r="28" spans="1:1" x14ac:dyDescent="0.35">
      <c r="A28" t="s">
        <v>55</v>
      </c>
    </row>
    <row r="29" spans="1:1" x14ac:dyDescent="0.35">
      <c r="A29" t="s">
        <v>56</v>
      </c>
    </row>
    <row r="30" spans="1:1" x14ac:dyDescent="0.35">
      <c r="A30" t="s">
        <v>57</v>
      </c>
    </row>
    <row r="31" spans="1:1" x14ac:dyDescent="0.35">
      <c r="A31" t="s">
        <v>58</v>
      </c>
    </row>
    <row r="32" spans="1:1" x14ac:dyDescent="0.35">
      <c r="A32"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2B4C6-D227-48BE-A0ED-973B944E224D}">
  <dimension ref="A1:L32"/>
  <sheetViews>
    <sheetView workbookViewId="0">
      <selection activeCell="J2" sqref="J2"/>
    </sheetView>
  </sheetViews>
  <sheetFormatPr defaultRowHeight="14.5" x14ac:dyDescent="0.35"/>
  <cols>
    <col min="1" max="1" width="10.08984375" style="7" bestFit="1" customWidth="1"/>
    <col min="3" max="3" width="17.08984375" customWidth="1"/>
    <col min="4" max="4" width="11.36328125" customWidth="1"/>
    <col min="5" max="5" width="11" style="2" customWidth="1"/>
    <col min="6" max="6" width="14.54296875" style="2" customWidth="1"/>
    <col min="7" max="7" width="14.81640625" customWidth="1"/>
    <col min="8" max="9" width="22.08984375" bestFit="1" customWidth="1"/>
    <col min="10" max="10" width="13.81640625" bestFit="1" customWidth="1"/>
    <col min="11" max="11" width="29.7265625" bestFit="1" customWidth="1"/>
    <col min="12" max="12" width="64.90625" bestFit="1" customWidth="1"/>
  </cols>
  <sheetData>
    <row r="1" spans="1:12" x14ac:dyDescent="0.35">
      <c r="A1" s="7" t="s">
        <v>0</v>
      </c>
      <c r="B1" t="s">
        <v>1</v>
      </c>
      <c r="C1" t="s">
        <v>2</v>
      </c>
      <c r="D1" t="s">
        <v>3</v>
      </c>
      <c r="E1" s="2" t="s">
        <v>4</v>
      </c>
      <c r="F1" s="2" t="s">
        <v>5</v>
      </c>
      <c r="G1" t="s">
        <v>27</v>
      </c>
      <c r="I1" s="4"/>
      <c r="J1" s="4"/>
      <c r="K1" s="4"/>
      <c r="L1" s="4"/>
    </row>
    <row r="2" spans="1:12" x14ac:dyDescent="0.35">
      <c r="A2" s="7">
        <v>45658</v>
      </c>
      <c r="B2" t="s">
        <v>8</v>
      </c>
      <c r="C2" t="s">
        <v>6</v>
      </c>
      <c r="D2">
        <v>19</v>
      </c>
      <c r="E2" s="2">
        <v>8500</v>
      </c>
      <c r="F2" s="2">
        <v>161500</v>
      </c>
      <c r="G2" t="s">
        <v>16</v>
      </c>
      <c r="I2" s="3" t="s">
        <v>5</v>
      </c>
      <c r="J2" s="2">
        <f>SUM(F2:F32)</f>
        <v>6316100</v>
      </c>
      <c r="K2" s="5"/>
      <c r="L2" s="5"/>
    </row>
    <row r="3" spans="1:12" x14ac:dyDescent="0.35">
      <c r="A3" s="7">
        <v>45659</v>
      </c>
      <c r="B3" t="s">
        <v>9</v>
      </c>
      <c r="C3" t="s">
        <v>7</v>
      </c>
      <c r="D3">
        <v>45</v>
      </c>
      <c r="E3" s="2">
        <v>3200</v>
      </c>
      <c r="F3" s="2">
        <v>144000</v>
      </c>
      <c r="G3" t="s">
        <v>16</v>
      </c>
      <c r="I3" s="3" t="s">
        <v>17</v>
      </c>
      <c r="J3" s="2">
        <f>AVERAGE(F2:F32)</f>
        <v>203745.16129032258</v>
      </c>
    </row>
    <row r="4" spans="1:12" x14ac:dyDescent="0.35">
      <c r="A4" s="7">
        <v>45660</v>
      </c>
      <c r="B4" t="s">
        <v>10</v>
      </c>
      <c r="C4" t="s">
        <v>15</v>
      </c>
      <c r="D4">
        <v>31</v>
      </c>
      <c r="E4" s="2">
        <v>12000</v>
      </c>
      <c r="F4" s="2">
        <v>372000</v>
      </c>
      <c r="G4" t="s">
        <v>16</v>
      </c>
      <c r="I4" s="3" t="s">
        <v>18</v>
      </c>
      <c r="J4" s="2">
        <f>MAX(F2:F32)</f>
        <v>516000</v>
      </c>
    </row>
    <row r="5" spans="1:12" x14ac:dyDescent="0.35">
      <c r="A5" s="7">
        <v>45661</v>
      </c>
      <c r="B5" t="s">
        <v>11</v>
      </c>
      <c r="C5" t="s">
        <v>6</v>
      </c>
      <c r="D5">
        <v>30</v>
      </c>
      <c r="E5" s="2">
        <v>8500</v>
      </c>
      <c r="F5" s="2">
        <v>255000</v>
      </c>
      <c r="G5" t="s">
        <v>16</v>
      </c>
      <c r="I5" s="3" t="s">
        <v>19</v>
      </c>
      <c r="J5" s="2">
        <f>MIN(F2:F32)</f>
        <v>8500</v>
      </c>
    </row>
    <row r="6" spans="1:12" x14ac:dyDescent="0.35">
      <c r="A6" s="7">
        <v>45662</v>
      </c>
      <c r="B6" t="s">
        <v>12</v>
      </c>
      <c r="C6" t="s">
        <v>7</v>
      </c>
      <c r="D6">
        <v>27</v>
      </c>
      <c r="E6" s="2">
        <v>3200</v>
      </c>
      <c r="F6" s="2">
        <v>86400</v>
      </c>
      <c r="G6" t="s">
        <v>16</v>
      </c>
      <c r="I6" s="3" t="s">
        <v>20</v>
      </c>
      <c r="J6" s="2">
        <f>COUNTIF(G2:G32, "Yes")</f>
        <v>26</v>
      </c>
    </row>
    <row r="7" spans="1:12" x14ac:dyDescent="0.35">
      <c r="A7" s="7">
        <v>45663</v>
      </c>
      <c r="B7" t="s">
        <v>13</v>
      </c>
      <c r="C7" t="s">
        <v>15</v>
      </c>
      <c r="D7">
        <v>3</v>
      </c>
      <c r="E7" s="2">
        <v>12000</v>
      </c>
      <c r="F7" s="2">
        <v>36000</v>
      </c>
      <c r="G7" t="s">
        <v>21</v>
      </c>
      <c r="I7" s="3" t="s">
        <v>22</v>
      </c>
      <c r="J7" s="2">
        <f>SUMIF(C2:C32, "Clothing", F2:F32)</f>
        <v>2490500</v>
      </c>
    </row>
    <row r="8" spans="1:12" x14ac:dyDescent="0.35">
      <c r="A8" s="7">
        <v>45664</v>
      </c>
      <c r="B8" t="s">
        <v>14</v>
      </c>
      <c r="C8" t="s">
        <v>6</v>
      </c>
      <c r="D8">
        <v>17</v>
      </c>
      <c r="E8" s="2">
        <v>8500</v>
      </c>
      <c r="F8" s="2">
        <v>144500</v>
      </c>
      <c r="G8" t="s">
        <v>16</v>
      </c>
      <c r="I8" s="3" t="s">
        <v>23</v>
      </c>
      <c r="J8" s="2">
        <f>SUMIF(C2:C32, "Accessories", F2:F32)</f>
        <v>969600</v>
      </c>
    </row>
    <row r="9" spans="1:12" x14ac:dyDescent="0.35">
      <c r="A9" s="7">
        <v>45665</v>
      </c>
      <c r="B9" t="s">
        <v>8</v>
      </c>
      <c r="C9" t="s">
        <v>7</v>
      </c>
      <c r="D9">
        <v>45</v>
      </c>
      <c r="E9" s="2">
        <v>3200</v>
      </c>
      <c r="F9" s="2">
        <v>144000</v>
      </c>
      <c r="G9" t="s">
        <v>16</v>
      </c>
      <c r="I9" s="3" t="s">
        <v>24</v>
      </c>
      <c r="J9" s="2">
        <f>SUMIF(C2:C32, "Clothing", F2:F32)</f>
        <v>2490500</v>
      </c>
    </row>
    <row r="10" spans="1:12" x14ac:dyDescent="0.35">
      <c r="A10" s="7">
        <v>45666</v>
      </c>
      <c r="B10" t="s">
        <v>9</v>
      </c>
      <c r="C10" t="s">
        <v>15</v>
      </c>
      <c r="D10">
        <v>39</v>
      </c>
      <c r="E10" s="2">
        <v>12000</v>
      </c>
      <c r="F10" s="2">
        <v>468000</v>
      </c>
      <c r="G10" t="s">
        <v>16</v>
      </c>
    </row>
    <row r="11" spans="1:12" x14ac:dyDescent="0.35">
      <c r="A11" s="7">
        <v>45667</v>
      </c>
      <c r="B11" t="s">
        <v>10</v>
      </c>
      <c r="C11" t="s">
        <v>6</v>
      </c>
      <c r="D11">
        <v>34</v>
      </c>
      <c r="E11" s="2">
        <v>8500</v>
      </c>
      <c r="F11" s="2">
        <v>289000</v>
      </c>
      <c r="G11" t="s">
        <v>16</v>
      </c>
    </row>
    <row r="12" spans="1:12" x14ac:dyDescent="0.35">
      <c r="A12" s="7">
        <v>45668</v>
      </c>
      <c r="B12" t="s">
        <v>11</v>
      </c>
      <c r="C12" t="s">
        <v>7</v>
      </c>
      <c r="D12">
        <v>37</v>
      </c>
      <c r="E12" s="2">
        <v>3200</v>
      </c>
      <c r="F12" s="2">
        <v>118400</v>
      </c>
      <c r="G12" t="s">
        <v>16</v>
      </c>
    </row>
    <row r="13" spans="1:12" x14ac:dyDescent="0.35">
      <c r="A13" s="7">
        <v>45669</v>
      </c>
      <c r="B13" t="s">
        <v>12</v>
      </c>
      <c r="C13" t="s">
        <v>15</v>
      </c>
      <c r="D13">
        <v>3</v>
      </c>
      <c r="E13" s="2">
        <v>12000</v>
      </c>
      <c r="F13" s="2">
        <v>36000</v>
      </c>
      <c r="G13" t="s">
        <v>21</v>
      </c>
    </row>
    <row r="14" spans="1:12" x14ac:dyDescent="0.35">
      <c r="A14" s="7">
        <v>45670</v>
      </c>
      <c r="B14" t="s">
        <v>13</v>
      </c>
      <c r="C14" t="s">
        <v>6</v>
      </c>
      <c r="D14">
        <v>36</v>
      </c>
      <c r="E14" s="2">
        <v>8500</v>
      </c>
      <c r="F14" s="2">
        <v>306000</v>
      </c>
      <c r="G14" t="s">
        <v>16</v>
      </c>
    </row>
    <row r="15" spans="1:12" x14ac:dyDescent="0.35">
      <c r="A15" s="7">
        <v>45671</v>
      </c>
      <c r="B15" t="s">
        <v>14</v>
      </c>
      <c r="C15" t="s">
        <v>7</v>
      </c>
      <c r="D15">
        <v>7</v>
      </c>
      <c r="E15" s="2">
        <v>3200</v>
      </c>
      <c r="F15" s="2">
        <v>22400</v>
      </c>
      <c r="G15" t="s">
        <v>21</v>
      </c>
    </row>
    <row r="16" spans="1:12" x14ac:dyDescent="0.35">
      <c r="A16" s="7">
        <v>45672</v>
      </c>
      <c r="B16" t="s">
        <v>8</v>
      </c>
      <c r="C16" t="s">
        <v>15</v>
      </c>
      <c r="D16">
        <v>32</v>
      </c>
      <c r="E16" s="2">
        <v>12000</v>
      </c>
      <c r="F16" s="2">
        <v>384000</v>
      </c>
      <c r="G16" t="s">
        <v>16</v>
      </c>
    </row>
    <row r="17" spans="1:7" x14ac:dyDescent="0.35">
      <c r="A17" s="7">
        <v>45673</v>
      </c>
      <c r="B17" t="s">
        <v>9</v>
      </c>
      <c r="C17" t="s">
        <v>6</v>
      </c>
      <c r="D17">
        <v>1</v>
      </c>
      <c r="E17" s="2">
        <v>8500</v>
      </c>
      <c r="F17" s="2">
        <v>8500</v>
      </c>
      <c r="G17" t="s">
        <v>21</v>
      </c>
    </row>
    <row r="18" spans="1:7" x14ac:dyDescent="0.35">
      <c r="A18" s="7">
        <v>45674</v>
      </c>
      <c r="B18" t="s">
        <v>10</v>
      </c>
      <c r="C18" t="s">
        <v>7</v>
      </c>
      <c r="D18">
        <v>37</v>
      </c>
      <c r="E18" s="2">
        <v>3200</v>
      </c>
      <c r="F18" s="2">
        <v>118400</v>
      </c>
      <c r="G18" t="s">
        <v>16</v>
      </c>
    </row>
    <row r="19" spans="1:7" x14ac:dyDescent="0.35">
      <c r="A19" s="7">
        <v>45675</v>
      </c>
      <c r="B19" t="s">
        <v>11</v>
      </c>
      <c r="C19" t="s">
        <v>15</v>
      </c>
      <c r="D19">
        <v>18</v>
      </c>
      <c r="E19" s="2">
        <v>12000</v>
      </c>
      <c r="F19" s="2">
        <v>216000</v>
      </c>
      <c r="G19" t="s">
        <v>16</v>
      </c>
    </row>
    <row r="20" spans="1:7" x14ac:dyDescent="0.35">
      <c r="A20" s="7">
        <v>45676</v>
      </c>
      <c r="B20" t="s">
        <v>12</v>
      </c>
      <c r="C20" t="s">
        <v>6</v>
      </c>
      <c r="D20">
        <v>44</v>
      </c>
      <c r="E20" s="2">
        <v>8500</v>
      </c>
      <c r="F20" s="2">
        <v>374000</v>
      </c>
      <c r="G20" t="s">
        <v>16</v>
      </c>
    </row>
    <row r="21" spans="1:7" x14ac:dyDescent="0.35">
      <c r="A21" s="7">
        <v>45677</v>
      </c>
      <c r="B21" t="s">
        <v>13</v>
      </c>
      <c r="C21" t="s">
        <v>7</v>
      </c>
      <c r="D21">
        <v>21</v>
      </c>
      <c r="E21" s="2">
        <v>3200</v>
      </c>
      <c r="F21" s="2">
        <v>67200</v>
      </c>
      <c r="G21" t="s">
        <v>16</v>
      </c>
    </row>
    <row r="22" spans="1:7" x14ac:dyDescent="0.35">
      <c r="A22" s="7">
        <v>45678</v>
      </c>
      <c r="B22" t="s">
        <v>14</v>
      </c>
      <c r="C22" t="s">
        <v>15</v>
      </c>
      <c r="D22">
        <v>11</v>
      </c>
      <c r="E22" s="2">
        <v>12000</v>
      </c>
      <c r="F22" s="2">
        <v>132000</v>
      </c>
      <c r="G22" t="s">
        <v>16</v>
      </c>
    </row>
    <row r="23" spans="1:7" x14ac:dyDescent="0.35">
      <c r="A23" s="7">
        <v>45679</v>
      </c>
      <c r="B23" t="s">
        <v>8</v>
      </c>
      <c r="C23" t="s">
        <v>6</v>
      </c>
      <c r="D23">
        <v>39</v>
      </c>
      <c r="E23" s="2">
        <v>8500</v>
      </c>
      <c r="F23" s="2">
        <v>331500</v>
      </c>
      <c r="G23" t="s">
        <v>16</v>
      </c>
    </row>
    <row r="24" spans="1:7" x14ac:dyDescent="0.35">
      <c r="A24" s="7">
        <v>45680</v>
      </c>
      <c r="B24" t="s">
        <v>9</v>
      </c>
      <c r="C24" t="s">
        <v>7</v>
      </c>
      <c r="D24">
        <v>47</v>
      </c>
      <c r="E24" s="2">
        <v>3200</v>
      </c>
      <c r="F24" s="2">
        <v>150400</v>
      </c>
      <c r="G24" t="s">
        <v>16</v>
      </c>
    </row>
    <row r="25" spans="1:7" x14ac:dyDescent="0.35">
      <c r="A25" s="7">
        <v>45681</v>
      </c>
      <c r="B25" t="s">
        <v>10</v>
      </c>
      <c r="C25" t="s">
        <v>15</v>
      </c>
      <c r="D25">
        <v>40</v>
      </c>
      <c r="E25" s="2">
        <v>12000</v>
      </c>
      <c r="F25" s="2">
        <v>480000</v>
      </c>
      <c r="G25" t="s">
        <v>16</v>
      </c>
    </row>
    <row r="26" spans="1:7" x14ac:dyDescent="0.35">
      <c r="A26" s="7">
        <v>45682</v>
      </c>
      <c r="B26" t="s">
        <v>11</v>
      </c>
      <c r="C26" t="s">
        <v>6</v>
      </c>
      <c r="D26">
        <v>24</v>
      </c>
      <c r="E26" s="2">
        <v>8500</v>
      </c>
      <c r="F26" s="2">
        <v>204000</v>
      </c>
      <c r="G26" t="s">
        <v>16</v>
      </c>
    </row>
    <row r="27" spans="1:7" x14ac:dyDescent="0.35">
      <c r="A27" s="7">
        <v>45683</v>
      </c>
      <c r="B27" t="s">
        <v>12</v>
      </c>
      <c r="C27" t="s">
        <v>7</v>
      </c>
      <c r="D27">
        <v>29</v>
      </c>
      <c r="E27" s="2">
        <v>3200</v>
      </c>
      <c r="F27" s="2">
        <v>92800</v>
      </c>
      <c r="G27" t="s">
        <v>16</v>
      </c>
    </row>
    <row r="28" spans="1:7" x14ac:dyDescent="0.35">
      <c r="A28" s="7">
        <v>45684</v>
      </c>
      <c r="B28" t="s">
        <v>13</v>
      </c>
      <c r="C28" t="s">
        <v>15</v>
      </c>
      <c r="D28">
        <v>18</v>
      </c>
      <c r="E28" s="2">
        <v>12000</v>
      </c>
      <c r="F28" s="2">
        <v>216000</v>
      </c>
      <c r="G28" t="s">
        <v>16</v>
      </c>
    </row>
    <row r="29" spans="1:7" x14ac:dyDescent="0.35">
      <c r="A29" s="7">
        <v>45685</v>
      </c>
      <c r="B29" t="s">
        <v>14</v>
      </c>
      <c r="C29" t="s">
        <v>6</v>
      </c>
      <c r="D29">
        <v>11</v>
      </c>
      <c r="E29" s="2">
        <v>8500</v>
      </c>
      <c r="F29" s="2">
        <v>93500</v>
      </c>
      <c r="G29" t="s">
        <v>16</v>
      </c>
    </row>
    <row r="30" spans="1:7" x14ac:dyDescent="0.35">
      <c r="A30" s="7">
        <v>45686</v>
      </c>
      <c r="B30" t="s">
        <v>8</v>
      </c>
      <c r="C30" t="s">
        <v>7</v>
      </c>
      <c r="D30">
        <v>8</v>
      </c>
      <c r="E30" s="2">
        <v>3200</v>
      </c>
      <c r="F30" s="2">
        <v>25600</v>
      </c>
      <c r="G30" t="s">
        <v>21</v>
      </c>
    </row>
    <row r="31" spans="1:7" x14ac:dyDescent="0.35">
      <c r="A31" s="7">
        <v>45687</v>
      </c>
      <c r="B31" t="s">
        <v>9</v>
      </c>
      <c r="C31" t="s">
        <v>15</v>
      </c>
      <c r="D31">
        <v>43</v>
      </c>
      <c r="E31" s="2">
        <v>12000</v>
      </c>
      <c r="F31" s="2">
        <v>516000</v>
      </c>
      <c r="G31" t="s">
        <v>16</v>
      </c>
    </row>
    <row r="32" spans="1:7" x14ac:dyDescent="0.35">
      <c r="A32" s="7">
        <v>45688</v>
      </c>
      <c r="B32" t="s">
        <v>10</v>
      </c>
      <c r="C32" t="s">
        <v>6</v>
      </c>
      <c r="D32">
        <v>38</v>
      </c>
      <c r="E32" s="2">
        <v>8500</v>
      </c>
      <c r="F32" s="2">
        <v>323000</v>
      </c>
      <c r="G32"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5A6F-4966-45D6-A5E7-F59ACA6A19BA}">
  <dimension ref="B1:E19"/>
  <sheetViews>
    <sheetView showGridLines="0" topLeftCell="A4" zoomScaleNormal="100" workbookViewId="0">
      <selection activeCell="F15" sqref="F15"/>
    </sheetView>
  </sheetViews>
  <sheetFormatPr defaultRowHeight="14.5" x14ac:dyDescent="0.35"/>
  <cols>
    <col min="1" max="1" width="3.7265625" customWidth="1"/>
    <col min="2" max="2" width="21.453125" bestFit="1" customWidth="1"/>
    <col min="3" max="3" width="14.81640625" bestFit="1" customWidth="1"/>
    <col min="4" max="4" width="13.81640625" bestFit="1" customWidth="1"/>
    <col min="6" max="6" width="4.81640625" customWidth="1"/>
  </cols>
  <sheetData>
    <row r="1" spans="2:5" x14ac:dyDescent="0.35">
      <c r="B1" s="1"/>
    </row>
    <row r="2" spans="2:5" x14ac:dyDescent="0.35">
      <c r="B2" s="1"/>
    </row>
    <row r="3" spans="2:5" x14ac:dyDescent="0.35">
      <c r="B3" s="1"/>
    </row>
    <row r="4" spans="2:5" x14ac:dyDescent="0.35">
      <c r="B4" s="6" t="s">
        <v>25</v>
      </c>
      <c r="C4" s="6"/>
      <c r="D4" s="6"/>
      <c r="E4" s="6"/>
    </row>
    <row r="5" spans="2:5" x14ac:dyDescent="0.35">
      <c r="B5" s="6"/>
      <c r="C5" s="6"/>
      <c r="D5" s="6"/>
      <c r="E5" s="6"/>
    </row>
    <row r="6" spans="2:5" x14ac:dyDescent="0.35">
      <c r="B6" s="3" t="s">
        <v>5</v>
      </c>
      <c r="C6" s="2">
        <f>SUM(Table1[Total Revenue])</f>
        <v>6316100</v>
      </c>
    </row>
    <row r="7" spans="2:5" x14ac:dyDescent="0.35">
      <c r="B7" s="3" t="s">
        <v>17</v>
      </c>
      <c r="C7" s="2">
        <f>AVERAGE(Table1[Total Revenue])</f>
        <v>203745.16129032258</v>
      </c>
    </row>
    <row r="8" spans="2:5" x14ac:dyDescent="0.35">
      <c r="B8" s="3" t="s">
        <v>18</v>
      </c>
      <c r="C8" s="2">
        <f>MAX(Table1[Total Revenue])</f>
        <v>516000</v>
      </c>
    </row>
    <row r="9" spans="2:5" x14ac:dyDescent="0.35">
      <c r="B9" s="3" t="s">
        <v>19</v>
      </c>
      <c r="C9" s="2">
        <f>MIN(Table1[Total Revenue])</f>
        <v>8500</v>
      </c>
    </row>
    <row r="10" spans="2:5" x14ac:dyDescent="0.35">
      <c r="B10" s="3" t="s">
        <v>20</v>
      </c>
      <c r="C10">
        <f>COUNTIF(Table1[Above Average?], "Yes")</f>
        <v>26</v>
      </c>
    </row>
    <row r="11" spans="2:5" x14ac:dyDescent="0.35">
      <c r="B11" s="3" t="s">
        <v>22</v>
      </c>
      <c r="C11" s="2">
        <f>SUMIF(Table1[Product Category], "Clothing", Table1[Total Revenue])</f>
        <v>2490500</v>
      </c>
    </row>
    <row r="12" spans="2:5" x14ac:dyDescent="0.35">
      <c r="B12" s="3" t="s">
        <v>23</v>
      </c>
      <c r="C12" s="2">
        <f>SUMIF(Table1[Product Category], "Accessories", Table1[Total Revenue])</f>
        <v>969600</v>
      </c>
    </row>
    <row r="13" spans="2:5" x14ac:dyDescent="0.35">
      <c r="B13" s="3" t="s">
        <v>24</v>
      </c>
      <c r="C13" s="2">
        <f>SUMIF(Table1[Product Category], "Footwears", Table1[Total Revenue])</f>
        <v>2856000</v>
      </c>
      <c r="D13" s="2"/>
    </row>
    <row r="14" spans="2:5" x14ac:dyDescent="0.35">
      <c r="C14" s="2"/>
    </row>
    <row r="15" spans="2:5" x14ac:dyDescent="0.35">
      <c r="B15" s="10" t="s">
        <v>60</v>
      </c>
    </row>
    <row r="16" spans="2:5" x14ac:dyDescent="0.35">
      <c r="B16" s="10" t="s">
        <v>64</v>
      </c>
    </row>
    <row r="17" spans="2:2" x14ac:dyDescent="0.35">
      <c r="B17" s="10" t="s">
        <v>62</v>
      </c>
    </row>
    <row r="18" spans="2:2" x14ac:dyDescent="0.35">
      <c r="B18" s="10" t="s">
        <v>61</v>
      </c>
    </row>
    <row r="19" spans="2:2" x14ac:dyDescent="0.35">
      <c r="B19" s="10" t="s">
        <v>63</v>
      </c>
    </row>
  </sheetData>
  <mergeCells count="1">
    <mergeCell ref="B4:E5"/>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 Log</vt:lpstr>
      <vt:lpstr>Working Data</vt:lpstr>
      <vt:lpstr>Monthly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Contrail Bureau DC</dc:creator>
  <cp:lastModifiedBy>Contrail Bureau DC</cp:lastModifiedBy>
  <cp:lastPrinted>2026-04-27T16:59:21Z</cp:lastPrinted>
  <dcterms:created xsi:type="dcterms:W3CDTF">2026-03-13T12:47:02Z</dcterms:created>
  <dcterms:modified xsi:type="dcterms:W3CDTF">2026-04-27T17:01:39Z</dcterms:modified>
</cp:coreProperties>
</file>